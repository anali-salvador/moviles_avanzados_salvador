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ámetros" sheetId="1" r:id="rId5"/>
    <sheet state="visible" name="Boleta" sheetId="2" r:id="rId6"/>
    <sheet state="visible" name="Casos" sheetId="3" r:id="rId7"/>
    <sheet state="visible" name="Explicación" sheetId="4" r:id="rId8"/>
  </sheets>
  <definedNames/>
  <calcPr/>
</workbook>
</file>

<file path=xl/sharedStrings.xml><?xml version="1.0" encoding="utf-8"?>
<sst xmlns="http://schemas.openxmlformats.org/spreadsheetml/2006/main" count="237" uniqueCount="164">
  <si>
    <t>BOLETA DE EJEMPLO</t>
  </si>
  <si>
    <t>Explicación de cada fórmula</t>
  </si>
  <si>
    <t>Casos de prueba (todo con fórmulas)</t>
  </si>
  <si>
    <t>Parámetro</t>
  </si>
  <si>
    <t>DATOS DE ENTRADA (celdas amarillas)</t>
  </si>
  <si>
    <t>Concepto</t>
  </si>
  <si>
    <t>Valor</t>
  </si>
  <si>
    <t>Sueldo básico</t>
  </si>
  <si>
    <t>Caso 1</t>
  </si>
  <si>
    <t>Fuente</t>
  </si>
  <si>
    <t>Fecha de consulta</t>
  </si>
  <si>
    <t>Caso 2</t>
  </si>
  <si>
    <t>Caso 3</t>
  </si>
  <si>
    <t>RMV</t>
  </si>
  <si>
    <t>Caso 4</t>
  </si>
  <si>
    <t>Qué es (en palabras)</t>
  </si>
  <si>
    <t>Caso propio</t>
  </si>
  <si>
    <t>Cómo se calcula</t>
  </si>
  <si>
    <t>Ejemplo con números</t>
  </si>
  <si>
    <t>D.S. de la RMV, vigente desde el 1 de octubre de 2026</t>
  </si>
  <si>
    <t>Sueldo computable</t>
  </si>
  <si>
    <t>26/10/2026</t>
  </si>
  <si>
    <t>Días laborados</t>
  </si>
  <si>
    <t>% asignación familiar</t>
  </si>
  <si>
    <t>Lo que le toca al trabajador por los días que sí trabajó. Se divide el sueldo entre 30 para sacar lo que gana por día y se multiplica por los días trabajados.</t>
  </si>
  <si>
    <t>Ley 25129</t>
  </si>
  <si>
    <t>¿Tiene hijos?</t>
  </si>
  <si>
    <t>Asignación familiar</t>
  </si>
  <si>
    <t>Sueldo básico ÷ 30 × días laborados</t>
  </si>
  <si>
    <t>Caso 2: 1,800 ÷ 30 × 27 = 1,620.00</t>
  </si>
  <si>
    <t>No</t>
  </si>
  <si>
    <t>Un pago extra para quien tiene hijos. Siempre es el 10% de la RMV, aunque haya faltado días.</t>
  </si>
  <si>
    <t>Sí</t>
  </si>
  <si>
    <t>10% × RMV (solo si tiene hijos)</t>
  </si>
  <si>
    <t>10% × 1,230 = 123.00</t>
  </si>
  <si>
    <t>Valor hora</t>
  </si>
  <si>
    <t>Cuánto vale una hora de trabajo normal. Sirve para pagar las horas extras.</t>
  </si>
  <si>
    <t>Sistema de pensiones</t>
  </si>
  <si>
    <t>Sueldo básico ÷ 30 ÷ 8</t>
  </si>
  <si>
    <t>ONP</t>
  </si>
  <si>
    <t>Caso 3: 3,000 ÷ 30 ÷ 8 = 12.50</t>
  </si>
  <si>
    <t>AFP</t>
  </si>
  <si>
    <t>Horas extras 25%</t>
  </si>
  <si>
    <t>Las primeras horas extra se pagan con un 25% más que una hora normal.</t>
  </si>
  <si>
    <t>Valor hora × 1.25 × horas</t>
  </si>
  <si>
    <t>Caso 3: 12.50 × 1.25 × 4 = 62.50</t>
  </si>
  <si>
    <t>Horas extras 35%</t>
  </si>
  <si>
    <t>-</t>
  </si>
  <si>
    <t>AFP Ejemplo</t>
  </si>
  <si>
    <t>Las horas extra que siguen se pagan con un 35% más.</t>
  </si>
  <si>
    <t>Valor hora × 1.35 × horas</t>
  </si>
  <si>
    <t>Caso 3: 12.50 × 1.35 × 4 = 67.50</t>
  </si>
  <si>
    <t>Total remuneraciones</t>
  </si>
  <si>
    <t>Todo lo que gana el trabajador en el mes antes de los descuentos.</t>
  </si>
  <si>
    <t>Suma de sueldo computable, asignación familiar y horas extras</t>
  </si>
  <si>
    <t>Caso 3: 3,000 + 123 + 62.50 + 67.50 = 3,253.00</t>
  </si>
  <si>
    <t>Aporte para la pensión del Estado. Se descuenta el 13% del total de remuneraciones.</t>
  </si>
  <si>
    <t>Total remuneraciones × 13%</t>
  </si>
  <si>
    <t>Caso 2: 1,743 × 13% = 226.59</t>
  </si>
  <si>
    <t>Adelantos</t>
  </si>
  <si>
    <t>AFP fondo</t>
  </si>
  <si>
    <t>Parte del descuento que va a la cuenta personal de pensión del trabajador.</t>
  </si>
  <si>
    <t>Total remuneraciones × tasa de fondo</t>
  </si>
  <si>
    <t>Caso 3: 3,253 × 10% = 325.30</t>
  </si>
  <si>
    <t>AFP comisión</t>
  </si>
  <si>
    <t>Lo que cobra la AFP por administrar el dinero.</t>
  </si>
  <si>
    <t>Total remuneraciones × tasa de comisión</t>
  </si>
  <si>
    <t>Caso 3: 3,253 × 1.60% = 52.048, se redondea a 52.05</t>
  </si>
  <si>
    <t>AFP seguro</t>
  </si>
  <si>
    <t>Seguro de invalidez y sobrevivencia que cobra la AFP.</t>
  </si>
  <si>
    <t>Calculado: 10% de la RMV</t>
  </si>
  <si>
    <t>Total remuneraciones × tasa de seguro</t>
  </si>
  <si>
    <t>Cálculo</t>
  </si>
  <si>
    <t>Caso 3: 3,253 × 1.35% = 43.9155, se redondea a 43.92</t>
  </si>
  <si>
    <t>D.L. 19990</t>
  </si>
  <si>
    <t>Plata que el trabajador ya recibió antes. Se resta completa.</t>
  </si>
  <si>
    <t>Monto ingresado</t>
  </si>
  <si>
    <t>Caso 3: 200.00</t>
  </si>
  <si>
    <t>EsSalud</t>
  </si>
  <si>
    <t>Total descuentos</t>
  </si>
  <si>
    <t>Ley 26790</t>
  </si>
  <si>
    <t>Todo lo que se le quita al trabajador.</t>
  </si>
  <si>
    <t>Pensión (ONP o AFP) + adelantos</t>
  </si>
  <si>
    <t>Recargo horas extras 25%</t>
  </si>
  <si>
    <t>Caso 3: 325.30 + 52.05 + 43.92 + 200 = 621.27</t>
  </si>
  <si>
    <t>Neto a pagar</t>
  </si>
  <si>
    <t>Lo que realmente llega al bolsillo del trabajador.</t>
  </si>
  <si>
    <t>Total remuneraciones − total descuentos</t>
  </si>
  <si>
    <t>Caso 3: 3,253.00 − 621.27 = 2,631.73</t>
  </si>
  <si>
    <t>EsSalud (empleador)</t>
  </si>
  <si>
    <t>Aporte de salud que paga la empresa. No se le descuenta al trabajador, no cambia el neto.</t>
  </si>
  <si>
    <t>Normas de jornada y sobretiempo</t>
  </si>
  <si>
    <t>Total remuneraciones × 9%</t>
  </si>
  <si>
    <t>Caso 3: 3,253 × 9% = 292.77</t>
  </si>
  <si>
    <t>Recargo horas extras 35%</t>
  </si>
  <si>
    <t>Redondeo</t>
  </si>
  <si>
    <t>Cada concepto se redondea a 2 decimales y recién después se suman.</t>
  </si>
  <si>
    <t>ROUND(valor; 2)</t>
  </si>
  <si>
    <t>Días del mes</t>
  </si>
  <si>
    <t>52.048 pasa a 52.05</t>
  </si>
  <si>
    <t>Convención del trabajo</t>
  </si>
  <si>
    <t>Horas por día</t>
  </si>
  <si>
    <t>Respuestas a las preguntas de análisis</t>
  </si>
  <si>
    <t>Tasas AFP</t>
  </si>
  <si>
    <t>Pregunta</t>
  </si>
  <si>
    <t>Respuesta</t>
  </si>
  <si>
    <t>Cuenta</t>
  </si>
  <si>
    <t>Se usa la comisión sobre remuneración (flujo), que es la que pide el lab. Valores de la SBS, mes de devengue 2026-10</t>
  </si>
  <si>
    <t>Resultado</t>
  </si>
  <si>
    <t>1. ONP o AFP (datos del caso 3)</t>
  </si>
  <si>
    <t>Fondo</t>
  </si>
  <si>
    <t>Comisión</t>
  </si>
  <si>
    <t>Seguro</t>
  </si>
  <si>
    <t>Con AFP el neto es un poco mayor este mes (1.62 más). Pero no basta comparar porcentajes: en la ONP el aporte va a un fondo común del Estado y en la AFP una parte va a la cuenta personal del trabajador, y además las comisiones y el seguro cambian según la AFP. Conviene mirar también la pensión futura, no solo el neto de este mes.</t>
  </si>
  <si>
    <t>Horas extras al 25%</t>
  </si>
  <si>
    <t>Neto ONP: 3,253.00 − (422.89 + 200.00) = 2,630.11. Neto AFP: 2,631.73</t>
  </si>
  <si>
    <t>AFP deja 1.62 más</t>
  </si>
  <si>
    <t>2. Costo real para la empresa (caso 3)</t>
  </si>
  <si>
    <t>La empresa gasta las remuneraciones más EsSalud. Al trabajador le llega como neto un poco menos de las tres cuartas partes.</t>
  </si>
  <si>
    <t>3,253.00 + 292.77 = 3,545.77. Neto ÷ costo = 2,631.73 ÷ 3,545.77</t>
  </si>
  <si>
    <t>Costo 3,545.77, llega 74.22%</t>
  </si>
  <si>
    <t>3. Días laborados (caso 2 con 30 días)</t>
  </si>
  <si>
    <t>La diferencia en el neto es menor porque del sueldo extra se descuenta el 13% de ONP, y la asignación familiar no cambia con los días.</t>
  </si>
  <si>
    <t>Valores de prueba para los casos 1 a 4</t>
  </si>
  <si>
    <t>Sueldo 1,800 + 123 = 1,923.00. ONP 1,923 × 13% = 249.99. Neto 1,673.01. Dif. neto: 1,673.01 − 1,516.41. Dif. bruto: 1,923 − 1,743</t>
  </si>
  <si>
    <t>Neto +156.60 vs bruto +180.00</t>
  </si>
  <si>
    <t>4. Horas extras (caso 3)</t>
  </si>
  <si>
    <t>Horas extras al 35%</t>
  </si>
  <si>
    <t>Las horas extras son una parte pequeña del total.</t>
  </si>
  <si>
    <t>(62.50 + 67.50) ÷ 3,253.00</t>
  </si>
  <si>
    <t>4.00%</t>
  </si>
  <si>
    <t>5. Con datos reales</t>
  </si>
  <si>
    <t>Pendiente: agregar la oferta laboral elegida (enlace y fecha), armar la boleta en la columna Caso propio de la hoja Casos y comparar con dos compañeros.</t>
  </si>
  <si>
    <t>Habitat</t>
  </si>
  <si>
    <t>—</t>
  </si>
  <si>
    <t>Pendiente</t>
  </si>
  <si>
    <t>Validación</t>
  </si>
  <si>
    <t>Fuentes: ver la hoja Parámetros (dato, valor, fuente y fecha de consulta).</t>
  </si>
  <si>
    <t>SBS, Comisiones y Primas de Seguro del SPP, mes de devengue 2026-10 (www.sbs.gob.pe)</t>
  </si>
  <si>
    <t>Integra</t>
  </si>
  <si>
    <t>Prima</t>
  </si>
  <si>
    <t>Profuturo</t>
  </si>
  <si>
    <t>CÁLCULO</t>
  </si>
  <si>
    <t>Sueldo básico ÷ 30 ÷ 8 (no se redondea, se redondea cada concepto)</t>
  </si>
  <si>
    <t>REMUNERACIONES</t>
  </si>
  <si>
    <t>10% de la RMV si tiene hijos (no se prorratea)</t>
  </si>
  <si>
    <t>Suma de los conceptos anteriores</t>
  </si>
  <si>
    <t>RETENCIONES / DESCUENTOS</t>
  </si>
  <si>
    <t>13% del total de remuneraciones (si es ONP)</t>
  </si>
  <si>
    <t>Total remuneraciones × tasa de fondo (si es AFP)</t>
  </si>
  <si>
    <t>Total remuneraciones × tasa de comisión (si es AFP)</t>
  </si>
  <si>
    <t>Total remuneraciones × tasa de seguro (si es AFP)</t>
  </si>
  <si>
    <t>Se resta tal cual</t>
  </si>
  <si>
    <t>Pensión + adelantos</t>
  </si>
  <si>
    <t>APORTACIONES DEL EMPLEADOR</t>
  </si>
  <si>
    <t>EsSalud (9%)</t>
  </si>
  <si>
    <t>Total remuneraciones × 9%. Lo paga el empleador</t>
  </si>
  <si>
    <t>NETO A PAGAR</t>
  </si>
  <si>
    <t>Respuesta del documento</t>
  </si>
  <si>
    <t>Neto esperado</t>
  </si>
  <si>
    <t>Lo revisa el docente</t>
  </si>
  <si>
    <t>EsSalud esperado</t>
  </si>
  <si>
    <t>¿Coincide el neto?</t>
  </si>
  <si>
    <t>El caso propio va con el sueldo de una oferta laboral real (guardar enlace y fecha de consulta).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</si>
</sst>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S/ &quot;#,##0.00"/>
    <numFmt numFmtId="165" formatCode="d/m/yyyy"/>
    <numFmt numFmtId="166" formatCode="0.0000"/>
  </numFmts>
  <fonts count="8">
    <font>
      <sz val="11.0"/>
      <color theme="1"/>
      <name val="Calibri"/>
      <scheme val="minor"/>
    </font>
    <font>
      <b/>
      <sz val="14.0"/>
      <color theme="1"/>
      <name val="Cambria"/>
    </font>
    <font>
      <b/>
      <sz val="11.0"/>
      <color theme="1"/>
      <name val="Cambria"/>
    </font>
    <font>
      <b/>
      <sz val="11.0"/>
      <color rgb="FFFFFFFF"/>
      <name val="Cambria"/>
    </font>
    <font>
      <sz val="11.0"/>
      <color theme="1"/>
      <name val="Calibri"/>
    </font>
    <font>
      <b/>
      <sz val="12.0"/>
      <color theme="1"/>
      <name val="Cambria"/>
    </font>
    <font>
      <b/>
      <color rgb="FFFFFFFF"/>
      <name val="Times New Roman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</fills>
  <borders count="3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shrinkToFit="0" vertical="bottom" wrapText="0"/>
    </xf>
    <xf borderId="1" fillId="3" fontId="4" numFmtId="4" xfId="0" applyAlignment="1" applyBorder="1" applyFill="1" applyFont="1" applyNumberFormat="1">
      <alignment shrinkToFit="0" vertical="bottom" wrapText="0"/>
    </xf>
    <xf borderId="1" fillId="0" fontId="4" numFmtId="164" xfId="0" applyAlignment="1" applyBorder="1" applyFont="1" applyNumberFormat="1">
      <alignment readingOrder="0" shrinkToFit="0" vertical="bottom" wrapText="0"/>
    </xf>
    <xf borderId="1" fillId="0" fontId="2" numFmtId="0" xfId="0" applyAlignment="1" applyBorder="1" applyFont="1">
      <alignment shrinkToFit="0" vertical="top" wrapText="1"/>
    </xf>
    <xf borderId="1" fillId="0" fontId="4" numFmtId="9" xfId="0" applyAlignment="1" applyBorder="1" applyFont="1" applyNumberFormat="1">
      <alignment shrinkToFit="0" vertical="bottom" wrapText="0"/>
    </xf>
    <xf borderId="1" fillId="3" fontId="4" numFmtId="1" xfId="0" applyAlignment="1" applyBorder="1" applyFill="1" applyFont="1" applyNumberFormat="1">
      <alignment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top" wrapText="1"/>
    </xf>
    <xf borderId="1" fillId="0" fontId="4" numFmtId="164" xfId="0" applyAlignment="1" applyBorder="1" applyFont="1" applyNumberFormat="1">
      <alignment shrinkToFit="0" vertical="bottom" wrapText="0"/>
    </xf>
    <xf borderId="2" fillId="4" fontId="2" numFmtId="0" xfId="0" applyAlignment="1" applyBorder="1" applyFill="1" applyFont="1">
      <alignment shrinkToFit="0" vertical="bottom" wrapText="0"/>
    </xf>
    <xf borderId="2" fillId="4" fontId="4" numFmtId="0" xfId="0" applyAlignment="1" applyBorder="1" applyFill="1" applyFont="1">
      <alignment shrinkToFit="0" vertical="bottom" wrapText="0"/>
    </xf>
    <xf borderId="1" fillId="0" fontId="4" numFmtId="2" xfId="0" applyAlignment="1" applyBorder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2" fontId="6" numFmtId="0" xfId="0" applyAlignment="1" applyFill="1" applyFont="1">
      <alignment horizontal="center" readingOrder="0"/>
    </xf>
    <xf borderId="0" fillId="2" fontId="6" numFmtId="0" xfId="0" applyAlignment="1" applyFill="1" applyFont="1">
      <alignment readingOrder="0"/>
    </xf>
    <xf borderId="1" fillId="0" fontId="4" numFmtId="10" xfId="0" applyAlignment="1" applyBorder="1" applyFont="1" applyNumberFormat="1">
      <alignment shrinkToFit="0" vertical="bottom" wrapText="0"/>
    </xf>
    <xf borderId="1" fillId="3" fontId="4" numFmtId="2" xfId="0" applyAlignment="1" applyBorder="1" applyFill="1" applyFont="1" applyNumberFormat="1">
      <alignment shrinkToFit="0" vertical="bottom" wrapText="0"/>
    </xf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1" fillId="0" fontId="4" numFmtId="0" xfId="0" applyAlignment="1" applyBorder="1" applyFont="1">
      <alignment readingOrder="0" shrinkToFit="0" vertical="bottom" wrapText="0"/>
    </xf>
    <xf borderId="0" fillId="0" fontId="7" numFmtId="0" xfId="0" applyFont="1"/>
    <xf borderId="1" fillId="0" fontId="4" numFmtId="10" xfId="0" applyAlignment="1" applyBorder="1" applyFont="1" applyNumberFormat="1">
      <alignment readingOrder="0" shrinkToFit="0" vertical="bottom" wrapText="0"/>
    </xf>
    <xf borderId="1" fillId="0" fontId="4" numFmtId="166" xfId="0" applyAlignment="1" applyBorder="1" applyFont="1" applyNumberFormat="1">
      <alignment shrinkToFit="0" vertical="bottom" wrapText="0"/>
    </xf>
    <xf borderId="0" fillId="0" fontId="4" numFmtId="166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4" xfId="0" applyAlignment="1" applyBorder="1" applyFont="1" applyNumberFormat="1">
      <alignment shrinkToFit="0" vertical="bottom" wrapText="0"/>
    </xf>
    <xf borderId="1" fillId="5" fontId="2" numFmtId="0" xfId="0" applyAlignment="1" applyBorder="1" applyFill="1" applyFont="1">
      <alignment shrinkToFit="0" vertical="bottom" wrapText="0"/>
    </xf>
    <xf borderId="1" fillId="5" fontId="2" numFmtId="4" xfId="0" applyAlignment="1" applyBorder="1" applyFill="1" applyFont="1" applyNumberForma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1" fillId="5" fontId="5" numFmtId="164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4.0"/>
    <col customWidth="1" min="3" max="3" width="62.0"/>
    <col customWidth="1" min="4" max="4" width="18.0"/>
    <col customWidth="1" min="5" max="5" width="77.57"/>
    <col customWidth="1" min="6" max="6" width="29.0"/>
    <col customWidth="1" min="7" max="26" width="8.71"/>
  </cols>
  <sheetData>
    <row r="1">
      <c r="A1" s="3" t="s">
        <v>3</v>
      </c>
      <c r="B1" s="3" t="s">
        <v>6</v>
      </c>
      <c r="C1" s="3" t="s">
        <v>9</v>
      </c>
      <c r="D1" s="3" t="s">
        <v>10</v>
      </c>
    </row>
    <row r="2">
      <c r="A2" s="4" t="s">
        <v>13</v>
      </c>
      <c r="B2" s="6">
        <v>1230.0</v>
      </c>
      <c r="C2" s="4" t="s">
        <v>19</v>
      </c>
      <c r="D2" s="4" t="s">
        <v>21</v>
      </c>
    </row>
    <row r="3">
      <c r="A3" s="4" t="s">
        <v>23</v>
      </c>
      <c r="B3" s="8">
        <v>0.1</v>
      </c>
      <c r="C3" s="4" t="s">
        <v>25</v>
      </c>
      <c r="D3" s="4" t="s">
        <v>21</v>
      </c>
    </row>
    <row r="4">
      <c r="A4" s="4" t="s">
        <v>27</v>
      </c>
      <c r="B4" s="12">
        <f>B2*B3</f>
        <v>123</v>
      </c>
      <c r="C4" s="4" t="s">
        <v>70</v>
      </c>
      <c r="D4" s="4" t="s">
        <v>21</v>
      </c>
    </row>
    <row r="5">
      <c r="A5" s="4" t="s">
        <v>39</v>
      </c>
      <c r="B5" s="8">
        <v>0.13</v>
      </c>
      <c r="C5" s="4" t="s">
        <v>74</v>
      </c>
      <c r="D5" s="4" t="s">
        <v>21</v>
      </c>
    </row>
    <row r="6">
      <c r="A6" s="4" t="s">
        <v>78</v>
      </c>
      <c r="B6" s="8">
        <v>0.09</v>
      </c>
      <c r="C6" s="4" t="s">
        <v>80</v>
      </c>
      <c r="D6" s="4" t="s">
        <v>21</v>
      </c>
    </row>
    <row r="7">
      <c r="A7" s="4" t="s">
        <v>83</v>
      </c>
      <c r="B7" s="15">
        <v>1.25</v>
      </c>
      <c r="C7" s="4" t="s">
        <v>91</v>
      </c>
      <c r="D7" s="4" t="s">
        <v>21</v>
      </c>
    </row>
    <row r="8">
      <c r="A8" s="4" t="s">
        <v>94</v>
      </c>
      <c r="B8" s="15">
        <v>1.35</v>
      </c>
      <c r="C8" s="4" t="s">
        <v>91</v>
      </c>
      <c r="D8" s="4" t="s">
        <v>21</v>
      </c>
    </row>
    <row r="9">
      <c r="A9" s="4" t="s">
        <v>98</v>
      </c>
      <c r="B9" s="4">
        <v>30.0</v>
      </c>
      <c r="C9" s="4" t="s">
        <v>100</v>
      </c>
      <c r="D9" s="4" t="s">
        <v>21</v>
      </c>
    </row>
    <row r="10">
      <c r="A10" s="4" t="s">
        <v>101</v>
      </c>
      <c r="B10" s="4">
        <v>8.0</v>
      </c>
      <c r="C10" s="4" t="s">
        <v>100</v>
      </c>
      <c r="D10" s="4" t="s">
        <v>21</v>
      </c>
    </row>
    <row r="12">
      <c r="A12" s="2" t="s">
        <v>103</v>
      </c>
      <c r="C12" s="17" t="s">
        <v>107</v>
      </c>
    </row>
    <row r="13">
      <c r="A13" s="3" t="s">
        <v>41</v>
      </c>
      <c r="B13" s="3" t="s">
        <v>110</v>
      </c>
      <c r="C13" s="3" t="s">
        <v>111</v>
      </c>
      <c r="D13" s="3" t="s">
        <v>112</v>
      </c>
      <c r="E13" s="18" t="s">
        <v>9</v>
      </c>
      <c r="F13" s="19" t="s">
        <v>10</v>
      </c>
    </row>
    <row r="14">
      <c r="A14" s="4" t="s">
        <v>48</v>
      </c>
      <c r="B14" s="20">
        <v>0.1</v>
      </c>
      <c r="C14" s="20">
        <v>0.016</v>
      </c>
      <c r="D14" s="20">
        <v>0.0135</v>
      </c>
      <c r="E14" s="22" t="s">
        <v>123</v>
      </c>
      <c r="F14" s="23">
        <v>46321.0</v>
      </c>
    </row>
    <row r="15">
      <c r="A15" s="24" t="s">
        <v>133</v>
      </c>
      <c r="B15" s="26">
        <v>0.1</v>
      </c>
      <c r="C15" s="26">
        <v>0.0147</v>
      </c>
      <c r="D15" s="26">
        <v>0.0137</v>
      </c>
      <c r="E15" s="22" t="s">
        <v>138</v>
      </c>
      <c r="F15" s="23">
        <v>46321.0</v>
      </c>
    </row>
    <row r="16">
      <c r="A16" s="24" t="s">
        <v>139</v>
      </c>
      <c r="B16" s="26">
        <v>0.1</v>
      </c>
      <c r="C16" s="26">
        <v>0.0155</v>
      </c>
      <c r="D16" s="26">
        <v>0.0137</v>
      </c>
      <c r="E16" s="22" t="s">
        <v>138</v>
      </c>
      <c r="F16" s="23">
        <v>46321.0</v>
      </c>
    </row>
    <row r="17">
      <c r="A17" s="24" t="s">
        <v>140</v>
      </c>
      <c r="B17" s="26">
        <v>0.1</v>
      </c>
      <c r="C17" s="26">
        <v>0.016</v>
      </c>
      <c r="D17" s="26">
        <v>0.0137</v>
      </c>
      <c r="E17" s="22" t="s">
        <v>138</v>
      </c>
      <c r="F17" s="23">
        <v>46321.0</v>
      </c>
    </row>
    <row r="18">
      <c r="A18" s="24" t="s">
        <v>141</v>
      </c>
      <c r="B18" s="26">
        <v>0.1</v>
      </c>
      <c r="C18" s="26">
        <v>0.0169</v>
      </c>
      <c r="D18" s="26">
        <v>0.0137</v>
      </c>
      <c r="E18" s="22" t="s">
        <v>138</v>
      </c>
      <c r="F18" s="23">
        <v>46321.0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20.0"/>
    <col customWidth="1" min="3" max="3" width="62.0"/>
    <col customWidth="1" min="4" max="26" width="8.71"/>
  </cols>
  <sheetData>
    <row r="1">
      <c r="A1" s="1" t="s">
        <v>0</v>
      </c>
    </row>
    <row r="3">
      <c r="A3" s="2" t="s">
        <v>4</v>
      </c>
    </row>
    <row r="4">
      <c r="A4" s="4" t="s">
        <v>7</v>
      </c>
      <c r="B4" s="5">
        <v>2500.0</v>
      </c>
    </row>
    <row r="5">
      <c r="A5" s="4" t="s">
        <v>22</v>
      </c>
      <c r="B5" s="9">
        <v>30.0</v>
      </c>
    </row>
    <row r="6">
      <c r="A6" s="4" t="s">
        <v>26</v>
      </c>
      <c r="B6" s="10" t="s">
        <v>30</v>
      </c>
    </row>
    <row r="7">
      <c r="A7" s="4" t="s">
        <v>37</v>
      </c>
      <c r="B7" s="10" t="s">
        <v>39</v>
      </c>
    </row>
    <row r="8">
      <c r="A8" s="4" t="s">
        <v>41</v>
      </c>
      <c r="B8" s="10" t="s">
        <v>48</v>
      </c>
    </row>
    <row r="9">
      <c r="A9" s="4" t="s">
        <v>114</v>
      </c>
      <c r="B9" s="21">
        <v>0.0</v>
      </c>
    </row>
    <row r="10">
      <c r="A10" s="4" t="s">
        <v>127</v>
      </c>
      <c r="B10" s="21">
        <v>0.0</v>
      </c>
    </row>
    <row r="11">
      <c r="A11" s="4" t="s">
        <v>59</v>
      </c>
      <c r="B11" s="5">
        <v>0.0</v>
      </c>
    </row>
    <row r="12">
      <c r="A12" s="2" t="s">
        <v>136</v>
      </c>
      <c r="B12" s="25" t="str">
        <f>IF(NOT(ISNUMBER(B4)),"El sueldo debe ser un número",IF(B4&lt;=0,"El sueldo debe ser mayor que cero",IF(NOT(ISNUMBER(B5)),"Los días deben ser un número",IF(OR(B5&lt;1,B5&gt;30),"Los días deben estar entre 1 y 30",IF(OR(B9&lt;0,B10&lt;0),"Las horas extras no pueden ser negativas",IF(B11&lt;0,"Los adelantos no pueden ser negativos","Datos válidos"))))))</f>
        <v>Datos válidos</v>
      </c>
    </row>
    <row r="14">
      <c r="A14" s="2" t="s">
        <v>142</v>
      </c>
    </row>
    <row r="15">
      <c r="A15" s="25" t="s">
        <v>35</v>
      </c>
      <c r="B15" s="28">
        <f>B4/'Parámetros'!$B$9/'Parámetros'!$B$10</f>
        <v>10.41666667</v>
      </c>
      <c r="C15" s="29" t="s">
        <v>143</v>
      </c>
    </row>
    <row r="17">
      <c r="A17" s="13" t="s">
        <v>144</v>
      </c>
      <c r="B17" s="14"/>
      <c r="C17" s="14"/>
    </row>
    <row r="18">
      <c r="A18" s="4" t="s">
        <v>20</v>
      </c>
      <c r="B18" s="30">
        <f>ROUND(B4/'Parámetros'!$B$9*B5,2)</f>
        <v>2500</v>
      </c>
      <c r="C18" s="29" t="s">
        <v>28</v>
      </c>
    </row>
    <row r="19">
      <c r="A19" s="4" t="s">
        <v>27</v>
      </c>
      <c r="B19" s="30">
        <f>IF(B6="Sí",ROUND('Parámetros'!$B$4,2),0)</f>
        <v>0</v>
      </c>
      <c r="C19" s="29" t="s">
        <v>145</v>
      </c>
    </row>
    <row r="20">
      <c r="A20" s="4" t="s">
        <v>42</v>
      </c>
      <c r="B20" s="30">
        <f>ROUND(B15*'Parámetros'!$B$7*B9,2)</f>
        <v>0</v>
      </c>
      <c r="C20" s="29" t="s">
        <v>44</v>
      </c>
    </row>
    <row r="21" ht="15.75" customHeight="1">
      <c r="A21" s="4" t="s">
        <v>46</v>
      </c>
      <c r="B21" s="30">
        <f>ROUND(B15*'Parámetros'!$B$8*B10,2)</f>
        <v>0</v>
      </c>
      <c r="C21" s="29" t="s">
        <v>50</v>
      </c>
    </row>
    <row r="22" ht="15.75" customHeight="1">
      <c r="A22" s="31" t="s">
        <v>52</v>
      </c>
      <c r="B22" s="32">
        <f>SUM(B18:B21)</f>
        <v>2500</v>
      </c>
      <c r="C22" s="29" t="s">
        <v>146</v>
      </c>
    </row>
    <row r="23" ht="15.75" customHeight="1"/>
    <row r="24" ht="15.75" customHeight="1">
      <c r="A24" s="13" t="s">
        <v>147</v>
      </c>
      <c r="B24" s="14"/>
      <c r="C24" s="14"/>
    </row>
    <row r="25" ht="15.75" customHeight="1">
      <c r="A25" s="4" t="s">
        <v>39</v>
      </c>
      <c r="B25" s="30">
        <f>IF(B7="ONP",ROUND(B22*'Parámetros'!$B$5,2),0)</f>
        <v>325</v>
      </c>
      <c r="C25" s="29" t="s">
        <v>148</v>
      </c>
    </row>
    <row r="26" ht="15.75" customHeight="1">
      <c r="A26" s="4" t="s">
        <v>60</v>
      </c>
      <c r="B26" s="30">
        <f t="array" ref="B26">IF(B7="AFP",ROUND(B22*INDEX('Parámetros'!$B$14:$B$18,MATCH(B8,'Parámetros'!$A$14:$A$18,0)),2),0)</f>
        <v>0</v>
      </c>
      <c r="C26" s="29" t="s">
        <v>149</v>
      </c>
    </row>
    <row r="27" ht="15.75" customHeight="1">
      <c r="A27" s="4" t="s">
        <v>64</v>
      </c>
      <c r="B27" s="30">
        <f t="array" ref="B27">IF(B7="AFP",ROUND(B22*INDEX('Parámetros'!$C$14:$C$18,MATCH(B8,'Parámetros'!$A$14:$A$18,0)),2),0)</f>
        <v>0</v>
      </c>
      <c r="C27" s="29" t="s">
        <v>150</v>
      </c>
    </row>
    <row r="28" ht="15.75" customHeight="1">
      <c r="A28" s="4" t="s">
        <v>68</v>
      </c>
      <c r="B28" s="30">
        <f t="array" ref="B28">IF(B7="AFP",ROUND(B22*INDEX('Parámetros'!$D$14:$D$18,MATCH(B8,'Parámetros'!$A$14:$A$18,0)),2),0)</f>
        <v>0</v>
      </c>
      <c r="C28" s="29" t="s">
        <v>151</v>
      </c>
    </row>
    <row r="29" ht="15.75" customHeight="1">
      <c r="A29" s="4" t="s">
        <v>59</v>
      </c>
      <c r="B29" s="30">
        <f>B11</f>
        <v>0</v>
      </c>
      <c r="C29" s="29" t="s">
        <v>152</v>
      </c>
    </row>
    <row r="30" ht="15.75" customHeight="1">
      <c r="A30" s="31" t="s">
        <v>79</v>
      </c>
      <c r="B30" s="32">
        <f>SUM(B25:B29)</f>
        <v>325</v>
      </c>
      <c r="C30" s="29" t="s">
        <v>153</v>
      </c>
    </row>
    <row r="31" ht="15.75" customHeight="1"/>
    <row r="32" ht="15.75" customHeight="1">
      <c r="A32" s="13" t="s">
        <v>154</v>
      </c>
      <c r="B32" s="14"/>
      <c r="C32" s="14"/>
    </row>
    <row r="33" ht="15.75" customHeight="1">
      <c r="A33" s="4" t="s">
        <v>155</v>
      </c>
      <c r="B33" s="30">
        <f>ROUND(B22*'Parámetros'!$B$6,2)</f>
        <v>225</v>
      </c>
      <c r="C33" s="29" t="s">
        <v>156</v>
      </c>
    </row>
    <row r="34" ht="15.75" customHeight="1"/>
    <row r="35" ht="15.75" customHeight="1">
      <c r="A35" s="33" t="s">
        <v>157</v>
      </c>
      <c r="B35" s="34">
        <f>IF(B12="Datos válidos",B22-B30,"Revisar datos")</f>
        <v>2175</v>
      </c>
      <c r="C35" s="29" t="s">
        <v>87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8">
      <formula1>'Parámetros'!$A$14:$A$18</formula1>
    </dataValidation>
    <dataValidation type="list" allowBlank="1" sqref="B7">
      <formula1>"ONP,AFP"</formula1>
    </dataValidation>
    <dataValidation type="list" allowBlank="1" sqref="B6">
      <formula1>"Sí,No"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6" width="16.0"/>
    <col customWidth="1" min="7" max="26" width="8.71"/>
  </cols>
  <sheetData>
    <row r="1">
      <c r="A1" s="1" t="s">
        <v>2</v>
      </c>
    </row>
    <row r="3">
      <c r="A3" s="3" t="s">
        <v>5</v>
      </c>
      <c r="B3" s="3" t="s">
        <v>8</v>
      </c>
      <c r="C3" s="3" t="s">
        <v>11</v>
      </c>
      <c r="D3" s="3" t="s">
        <v>12</v>
      </c>
      <c r="E3" s="3" t="s">
        <v>14</v>
      </c>
      <c r="F3" s="3" t="s">
        <v>16</v>
      </c>
    </row>
    <row r="4">
      <c r="A4" s="4" t="s">
        <v>7</v>
      </c>
      <c r="B4" s="5">
        <v>2500.0</v>
      </c>
      <c r="C4" s="5">
        <v>1800.0</v>
      </c>
      <c r="D4" s="5">
        <v>3000.0</v>
      </c>
      <c r="E4" s="5">
        <v>4200.0</v>
      </c>
      <c r="F4" s="5"/>
    </row>
    <row r="5">
      <c r="A5" s="4" t="s">
        <v>22</v>
      </c>
      <c r="B5" s="10">
        <v>30.0</v>
      </c>
      <c r="C5" s="10">
        <v>27.0</v>
      </c>
      <c r="D5" s="10">
        <v>30.0</v>
      </c>
      <c r="E5" s="10">
        <v>24.0</v>
      </c>
      <c r="F5" s="10"/>
    </row>
    <row r="6">
      <c r="A6" s="4" t="s">
        <v>26</v>
      </c>
      <c r="B6" s="10" t="s">
        <v>30</v>
      </c>
      <c r="C6" s="10" t="s">
        <v>32</v>
      </c>
      <c r="D6" s="10" t="s">
        <v>32</v>
      </c>
      <c r="E6" s="10" t="s">
        <v>32</v>
      </c>
      <c r="F6" s="10"/>
    </row>
    <row r="7">
      <c r="A7" s="4" t="s">
        <v>37</v>
      </c>
      <c r="B7" s="10" t="s">
        <v>39</v>
      </c>
      <c r="C7" s="10" t="s">
        <v>39</v>
      </c>
      <c r="D7" s="10" t="s">
        <v>41</v>
      </c>
      <c r="E7" s="10" t="s">
        <v>41</v>
      </c>
      <c r="F7" s="10"/>
    </row>
    <row r="8">
      <c r="A8" s="4" t="s">
        <v>41</v>
      </c>
      <c r="B8" s="10" t="s">
        <v>47</v>
      </c>
      <c r="C8" s="10" t="s">
        <v>47</v>
      </c>
      <c r="D8" s="10" t="s">
        <v>48</v>
      </c>
      <c r="E8" s="10" t="s">
        <v>48</v>
      </c>
      <c r="F8" s="10"/>
    </row>
    <row r="9">
      <c r="A9" s="4" t="s">
        <v>42</v>
      </c>
      <c r="B9" s="10">
        <v>0.0</v>
      </c>
      <c r="C9" s="10">
        <v>0.0</v>
      </c>
      <c r="D9" s="10">
        <v>4.0</v>
      </c>
      <c r="E9" s="10">
        <v>2.0</v>
      </c>
      <c r="F9" s="10"/>
    </row>
    <row r="10">
      <c r="A10" s="4" t="s">
        <v>46</v>
      </c>
      <c r="B10" s="10">
        <v>0.0</v>
      </c>
      <c r="C10" s="10">
        <v>0.0</v>
      </c>
      <c r="D10" s="10">
        <v>4.0</v>
      </c>
      <c r="E10" s="10">
        <v>2.0</v>
      </c>
      <c r="F10" s="10"/>
    </row>
    <row r="11">
      <c r="A11" s="4" t="s">
        <v>59</v>
      </c>
      <c r="B11" s="5">
        <v>0.0</v>
      </c>
      <c r="C11" s="5">
        <v>0.0</v>
      </c>
      <c r="D11" s="5">
        <v>200.0</v>
      </c>
      <c r="E11" s="5">
        <v>100.0</v>
      </c>
      <c r="F11" s="5"/>
    </row>
    <row r="12">
      <c r="A12" s="13" t="s">
        <v>72</v>
      </c>
      <c r="B12" s="14"/>
      <c r="C12" s="14"/>
      <c r="D12" s="14"/>
      <c r="E12" s="14"/>
      <c r="F12" s="14"/>
    </row>
    <row r="13">
      <c r="A13" s="4" t="s">
        <v>35</v>
      </c>
      <c r="B13" s="27">
        <f>IF(B4="","",B4/'Parámetros'!$B$9/'Parámetros'!$B$10)</f>
        <v>10.41666667</v>
      </c>
      <c r="C13" s="27">
        <f>IF(C4="","",C4/'Parámetros'!$B$9/'Parámetros'!$B$10)</f>
        <v>7.5</v>
      </c>
      <c r="D13" s="27">
        <f>IF(D4="","",D4/'Parámetros'!$B$9/'Parámetros'!$B$10)</f>
        <v>12.5</v>
      </c>
      <c r="E13" s="27">
        <f>IF(E4="","",E4/'Parámetros'!$B$9/'Parámetros'!$B$10)</f>
        <v>17.5</v>
      </c>
      <c r="F13" s="27" t="str">
        <f>IF(F4="","",F4/'Parámetros'!$B$9/'Parámetros'!$B$10)</f>
        <v/>
      </c>
    </row>
    <row r="14">
      <c r="A14" s="4" t="s">
        <v>20</v>
      </c>
      <c r="B14" s="30">
        <f>IF(B4="","",ROUND(B4/'Parámetros'!$B$9*B5,2))</f>
        <v>2500</v>
      </c>
      <c r="C14" s="30">
        <f>IF(C4="","",ROUND(C4/'Parámetros'!$B$9*C5,2))</f>
        <v>1620</v>
      </c>
      <c r="D14" s="30">
        <f>IF(D4="","",ROUND(D4/'Parámetros'!$B$9*D5,2))</f>
        <v>3000</v>
      </c>
      <c r="E14" s="30">
        <f>IF(E4="","",ROUND(E4/'Parámetros'!$B$9*E5,2))</f>
        <v>3360</v>
      </c>
      <c r="F14" s="30" t="str">
        <f>IF(F4="","",ROUND(F4/'Parámetros'!$B$9*F5,2))</f>
        <v/>
      </c>
    </row>
    <row r="15">
      <c r="A15" s="4" t="s">
        <v>27</v>
      </c>
      <c r="B15" s="30">
        <f>IF(B4="","",IF(B6="Sí",ROUND('Parámetros'!$B$4,2),0))</f>
        <v>0</v>
      </c>
      <c r="C15" s="30">
        <f>IF(C4="","",IF(C6="Sí",ROUND('Parámetros'!$B$4,2),0))</f>
        <v>123</v>
      </c>
      <c r="D15" s="30">
        <f>IF(D4="","",IF(D6="Sí",ROUND('Parámetros'!$B$4,2),0))</f>
        <v>123</v>
      </c>
      <c r="E15" s="30">
        <f>IF(E4="","",IF(E6="Sí",ROUND('Parámetros'!$B$4,2),0))</f>
        <v>123</v>
      </c>
      <c r="F15" s="30" t="str">
        <f>IF(F4="","",IF(F6="Sí",ROUND('Parámetros'!$B$4,2),0))</f>
        <v/>
      </c>
    </row>
    <row r="16">
      <c r="A16" s="4" t="s">
        <v>42</v>
      </c>
      <c r="B16" s="30">
        <f>IF(B4="","",ROUND(B13*'Parámetros'!$B$7*B9,2))</f>
        <v>0</v>
      </c>
      <c r="C16" s="30">
        <f>IF(C4="","",ROUND(C13*'Parámetros'!$B$7*C9,2))</f>
        <v>0</v>
      </c>
      <c r="D16" s="30">
        <f>IF(D4="","",ROUND(D13*'Parámetros'!$B$7*D9,2))</f>
        <v>62.5</v>
      </c>
      <c r="E16" s="30">
        <f>IF(E4="","",ROUND(E13*'Parámetros'!$B$7*E9,2))</f>
        <v>43.75</v>
      </c>
      <c r="F16" s="30" t="str">
        <f>IF(F4="","",ROUND(F13*'Parámetros'!$B$7*F9,2))</f>
        <v/>
      </c>
    </row>
    <row r="17">
      <c r="A17" s="4" t="s">
        <v>46</v>
      </c>
      <c r="B17" s="30">
        <f>IF(B4="","",ROUND(B13*'Parámetros'!$B$8*B10,2))</f>
        <v>0</v>
      </c>
      <c r="C17" s="30">
        <f>IF(C4="","",ROUND(C13*'Parámetros'!$B$8*C10,2))</f>
        <v>0</v>
      </c>
      <c r="D17" s="30">
        <f>IF(D4="","",ROUND(D13*'Parámetros'!$B$8*D10,2))</f>
        <v>67.5</v>
      </c>
      <c r="E17" s="30">
        <f>IF(E4="","",ROUND(E13*'Parámetros'!$B$8*E10,2))</f>
        <v>47.25</v>
      </c>
      <c r="F17" s="30" t="str">
        <f>IF(F4="","",ROUND(F13*'Parámetros'!$B$8*F10,2))</f>
        <v/>
      </c>
    </row>
    <row r="18">
      <c r="A18" s="31" t="s">
        <v>52</v>
      </c>
      <c r="B18" s="32">
        <f t="shared" ref="B18:F18" si="1">IF(B4="","",SUM(B14:B17))</f>
        <v>2500</v>
      </c>
      <c r="C18" s="32">
        <f t="shared" si="1"/>
        <v>1743</v>
      </c>
      <c r="D18" s="32">
        <f t="shared" si="1"/>
        <v>3253</v>
      </c>
      <c r="E18" s="32">
        <f t="shared" si="1"/>
        <v>3574</v>
      </c>
      <c r="F18" s="32" t="str">
        <f t="shared" si="1"/>
        <v/>
      </c>
    </row>
    <row r="19">
      <c r="A19" s="4" t="s">
        <v>39</v>
      </c>
      <c r="B19" s="30">
        <f>IF(B4="","",IF(B7="ONP",ROUND(B18*'Parámetros'!$B$5,2),0))</f>
        <v>325</v>
      </c>
      <c r="C19" s="30">
        <f>IF(C4="","",IF(C7="ONP",ROUND(C18*'Parámetros'!$B$5,2),0))</f>
        <v>226.59</v>
      </c>
      <c r="D19" s="30">
        <f>IF(D4="","",IF(D7="ONP",ROUND(D18*'Parámetros'!$B$5,2),0))</f>
        <v>0</v>
      </c>
      <c r="E19" s="30">
        <f>IF(E4="","",IF(E7="ONP",ROUND(E18*'Parámetros'!$B$5,2),0))</f>
        <v>0</v>
      </c>
      <c r="F19" s="30" t="str">
        <f>IF(F4="","",IF(F7="ONP",ROUND(F18*'Parámetros'!$B$5,2),0))</f>
        <v/>
      </c>
    </row>
    <row r="20">
      <c r="A20" s="4" t="s">
        <v>60</v>
      </c>
      <c r="B20" s="30">
        <f t="array" ref="B20">IF(B4="","",IF(B7="AFP",ROUND(B18*INDEX('Parámetros'!$B$14:$B$18,MATCH(B8,'Parámetros'!$A$14:$A$18,0)),2),0))</f>
        <v>0</v>
      </c>
      <c r="C20" s="30">
        <f t="array" ref="C20">IF(C4="","",IF(C7="AFP",ROUND(C18*INDEX('Parámetros'!$B$14:$B$18,MATCH(C8,'Parámetros'!$A$14:$A$18,0)),2),0))</f>
        <v>0</v>
      </c>
      <c r="D20" s="30">
        <f t="array" ref="D20">IF(D4="","",IF(D7="AFP",ROUND(D18*INDEX('Parámetros'!$B$14:$B$18,MATCH(D8,'Parámetros'!$A$14:$A$18,0)),2),0))</f>
        <v>325.3</v>
      </c>
      <c r="E20" s="30">
        <f t="array" ref="E20">IF(E4="","",IF(E7="AFP",ROUND(E18*INDEX('Parámetros'!$B$14:$B$18,MATCH(E8,'Parámetros'!$A$14:$A$18,0)),2),0))</f>
        <v>357.4</v>
      </c>
      <c r="F20" s="30" t="str">
        <f t="array" ref="F20">IF(F4="","",IF(F7="AFP",ROUND(F18*INDEX('Parámetros'!$B$14:$B$18,MATCH(F8,'Parámetros'!$A$14:$A$18,0)),2),0))</f>
        <v/>
      </c>
    </row>
    <row r="21" ht="15.75" customHeight="1">
      <c r="A21" s="4" t="s">
        <v>64</v>
      </c>
      <c r="B21" s="30">
        <f t="array" ref="B21">IF(B4="","",IF(B7="AFP",ROUND(B18*INDEX('Parámetros'!$C$14:$C$18,MATCH(B8,'Parámetros'!$A$14:$A$18,0)),2),0))</f>
        <v>0</v>
      </c>
      <c r="C21" s="30">
        <f t="array" ref="C21">IF(C4="","",IF(C7="AFP",ROUND(C18*INDEX('Parámetros'!$C$14:$C$18,MATCH(C8,'Parámetros'!$A$14:$A$18,0)),2),0))</f>
        <v>0</v>
      </c>
      <c r="D21" s="30">
        <f t="array" ref="D21">IF(D4="","",IF(D7="AFP",ROUND(D18*INDEX('Parámetros'!$C$14:$C$18,MATCH(D8,'Parámetros'!$A$14:$A$18,0)),2),0))</f>
        <v>52.05</v>
      </c>
      <c r="E21" s="30">
        <f t="array" ref="E21">IF(E4="","",IF(E7="AFP",ROUND(E18*INDEX('Parámetros'!$C$14:$C$18,MATCH(E8,'Parámetros'!$A$14:$A$18,0)),2),0))</f>
        <v>57.18</v>
      </c>
      <c r="F21" s="30" t="str">
        <f t="array" ref="F21">IF(F4="","",IF(F7="AFP",ROUND(F18*INDEX('Parámetros'!$C$14:$C$18,MATCH(F8,'Parámetros'!$A$14:$A$18,0)),2),0))</f>
        <v/>
      </c>
    </row>
    <row r="22" ht="15.75" customHeight="1">
      <c r="A22" s="4" t="s">
        <v>68</v>
      </c>
      <c r="B22" s="30">
        <f t="array" ref="B22">IF(B4="","",IF(B7="AFP",ROUND(B18*INDEX('Parámetros'!$D$14:$D$18,MATCH(B8,'Parámetros'!$A$14:$A$18,0)),2),0))</f>
        <v>0</v>
      </c>
      <c r="C22" s="30">
        <f t="array" ref="C22">IF(C4="","",IF(C7="AFP",ROUND(C18*INDEX('Parámetros'!$D$14:$D$18,MATCH(C8,'Parámetros'!$A$14:$A$18,0)),2),0))</f>
        <v>0</v>
      </c>
      <c r="D22" s="30">
        <f t="array" ref="D22">IF(D4="","",IF(D7="AFP",ROUND(D18*INDEX('Parámetros'!$D$14:$D$18,MATCH(D8,'Parámetros'!$A$14:$A$18,0)),2),0))</f>
        <v>43.92</v>
      </c>
      <c r="E22" s="30">
        <f t="array" ref="E22">IF(E4="","",IF(E7="AFP",ROUND(E18*INDEX('Parámetros'!$D$14:$D$18,MATCH(E8,'Parámetros'!$A$14:$A$18,0)),2),0))</f>
        <v>48.25</v>
      </c>
      <c r="F22" s="30" t="str">
        <f t="array" ref="F22">IF(F4="","",IF(F7="AFP",ROUND(F18*INDEX('Parámetros'!$D$14:$D$18,MATCH(F8,'Parámetros'!$A$14:$A$18,0)),2),0))</f>
        <v/>
      </c>
    </row>
    <row r="23" ht="15.75" customHeight="1">
      <c r="A23" s="4" t="s">
        <v>59</v>
      </c>
      <c r="B23" s="30">
        <f t="shared" ref="B23:F23" si="2">IF(B4="","",B11)</f>
        <v>0</v>
      </c>
      <c r="C23" s="30">
        <f t="shared" si="2"/>
        <v>0</v>
      </c>
      <c r="D23" s="30">
        <f t="shared" si="2"/>
        <v>200</v>
      </c>
      <c r="E23" s="30">
        <f t="shared" si="2"/>
        <v>100</v>
      </c>
      <c r="F23" s="30" t="str">
        <f t="shared" si="2"/>
        <v/>
      </c>
    </row>
    <row r="24" ht="15.75" customHeight="1">
      <c r="A24" s="31" t="s">
        <v>79</v>
      </c>
      <c r="B24" s="32">
        <f t="shared" ref="B24:F24" si="3">IF(B4="","",SUM(B19:B23))</f>
        <v>325</v>
      </c>
      <c r="C24" s="32">
        <f t="shared" si="3"/>
        <v>226.59</v>
      </c>
      <c r="D24" s="32">
        <f t="shared" si="3"/>
        <v>621.27</v>
      </c>
      <c r="E24" s="32">
        <f t="shared" si="3"/>
        <v>562.83</v>
      </c>
      <c r="F24" s="32" t="str">
        <f t="shared" si="3"/>
        <v/>
      </c>
    </row>
    <row r="25" ht="15.75" customHeight="1">
      <c r="A25" s="31" t="s">
        <v>157</v>
      </c>
      <c r="B25" s="32">
        <f t="shared" ref="B25:F25" si="4">IF(B4="","",B18-B24)</f>
        <v>2175</v>
      </c>
      <c r="C25" s="32">
        <f t="shared" si="4"/>
        <v>1516.41</v>
      </c>
      <c r="D25" s="32">
        <f t="shared" si="4"/>
        <v>2631.73</v>
      </c>
      <c r="E25" s="32">
        <f t="shared" si="4"/>
        <v>3011.17</v>
      </c>
      <c r="F25" s="32" t="str">
        <f t="shared" si="4"/>
        <v/>
      </c>
    </row>
    <row r="26" ht="15.75" customHeight="1">
      <c r="A26" s="4" t="s">
        <v>89</v>
      </c>
      <c r="B26" s="30">
        <f>IF(B4="","",ROUND(B18*'Parámetros'!$B$6,2))</f>
        <v>225</v>
      </c>
      <c r="C26" s="30">
        <f>IF(C4="","",ROUND(C18*'Parámetros'!$B$6,2))</f>
        <v>156.87</v>
      </c>
      <c r="D26" s="30">
        <f>IF(D4="","",ROUND(D18*'Parámetros'!$B$6,2))</f>
        <v>292.77</v>
      </c>
      <c r="E26" s="30">
        <f>IF(E4="","",ROUND(E18*'Parámetros'!$B$6,2))</f>
        <v>321.66</v>
      </c>
      <c r="F26" s="30" t="str">
        <f>IF(F4="","",ROUND(F18*'Parámetros'!$B$6,2))</f>
        <v/>
      </c>
    </row>
    <row r="27" ht="15.75" customHeight="1"/>
    <row r="28" ht="15.75" customHeight="1">
      <c r="A28" s="13" t="s">
        <v>158</v>
      </c>
      <c r="B28" s="14"/>
      <c r="C28" s="14"/>
      <c r="D28" s="14"/>
      <c r="E28" s="14"/>
      <c r="F28" s="14"/>
    </row>
    <row r="29" ht="15.75" customHeight="1">
      <c r="A29" s="4" t="s">
        <v>159</v>
      </c>
      <c r="B29" s="30">
        <v>2175.0</v>
      </c>
      <c r="C29" s="30">
        <v>1516.41</v>
      </c>
      <c r="D29" s="30">
        <v>2631.73</v>
      </c>
      <c r="E29" s="4" t="s">
        <v>160</v>
      </c>
      <c r="F29" s="4" t="s">
        <v>134</v>
      </c>
    </row>
    <row r="30" ht="15.75" customHeight="1">
      <c r="A30" s="4" t="s">
        <v>161</v>
      </c>
      <c r="B30" s="30">
        <v>225.0</v>
      </c>
      <c r="C30" s="30">
        <v>156.87</v>
      </c>
      <c r="D30" s="30">
        <v>292.77</v>
      </c>
      <c r="E30" s="4"/>
      <c r="F30" s="4"/>
    </row>
    <row r="31" ht="15.75" customHeight="1">
      <c r="A31" s="4" t="s">
        <v>162</v>
      </c>
      <c r="B31" s="4" t="str">
        <f t="shared" ref="B31:D31" si="5">IF(AND(ROUND(B25-B29,2)=0,ROUND(B26-B30,2)=0),"Sí","No")</f>
        <v>Sí</v>
      </c>
      <c r="C31" s="4" t="str">
        <f t="shared" si="5"/>
        <v>Sí</v>
      </c>
      <c r="D31" s="4" t="str">
        <f t="shared" si="5"/>
        <v>Sí</v>
      </c>
      <c r="E31" s="4" t="s">
        <v>134</v>
      </c>
      <c r="F31" s="4" t="s">
        <v>134</v>
      </c>
    </row>
    <row r="32" ht="15.75" customHeight="1"/>
    <row r="33" ht="15.75" customHeight="1">
      <c r="A33" s="25" t="s">
        <v>163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70.0"/>
    <col customWidth="1" min="3" max="3" width="50.0"/>
    <col customWidth="1" min="4" max="4" width="32.0"/>
    <col customWidth="1" min="5" max="26" width="8.71"/>
  </cols>
  <sheetData>
    <row r="1">
      <c r="A1" s="1" t="s">
        <v>1</v>
      </c>
    </row>
    <row r="3">
      <c r="A3" s="3" t="s">
        <v>5</v>
      </c>
      <c r="B3" s="3" t="s">
        <v>15</v>
      </c>
      <c r="C3" s="3" t="s">
        <v>17</v>
      </c>
      <c r="D3" s="3" t="s">
        <v>18</v>
      </c>
    </row>
    <row r="4">
      <c r="A4" s="7" t="s">
        <v>20</v>
      </c>
      <c r="B4" s="11" t="s">
        <v>24</v>
      </c>
      <c r="C4" s="11" t="s">
        <v>28</v>
      </c>
      <c r="D4" s="11" t="s">
        <v>29</v>
      </c>
    </row>
    <row r="5">
      <c r="A5" s="7" t="s">
        <v>27</v>
      </c>
      <c r="B5" s="11" t="s">
        <v>31</v>
      </c>
      <c r="C5" s="11" t="s">
        <v>33</v>
      </c>
      <c r="D5" s="11" t="s">
        <v>34</v>
      </c>
    </row>
    <row r="6">
      <c r="A6" s="7" t="s">
        <v>35</v>
      </c>
      <c r="B6" s="11" t="s">
        <v>36</v>
      </c>
      <c r="C6" s="11" t="s">
        <v>38</v>
      </c>
      <c r="D6" s="11" t="s">
        <v>40</v>
      </c>
    </row>
    <row r="7">
      <c r="A7" s="7" t="s">
        <v>42</v>
      </c>
      <c r="B7" s="11" t="s">
        <v>43</v>
      </c>
      <c r="C7" s="11" t="s">
        <v>44</v>
      </c>
      <c r="D7" s="11" t="s">
        <v>45</v>
      </c>
    </row>
    <row r="8">
      <c r="A8" s="7" t="s">
        <v>46</v>
      </c>
      <c r="B8" s="11" t="s">
        <v>49</v>
      </c>
      <c r="C8" s="11" t="s">
        <v>50</v>
      </c>
      <c r="D8" s="11" t="s">
        <v>51</v>
      </c>
    </row>
    <row r="9">
      <c r="A9" s="7" t="s">
        <v>52</v>
      </c>
      <c r="B9" s="11" t="s">
        <v>53</v>
      </c>
      <c r="C9" s="11" t="s">
        <v>54</v>
      </c>
      <c r="D9" s="11" t="s">
        <v>55</v>
      </c>
    </row>
    <row r="10">
      <c r="A10" s="7" t="s">
        <v>39</v>
      </c>
      <c r="B10" s="11" t="s">
        <v>56</v>
      </c>
      <c r="C10" s="11" t="s">
        <v>57</v>
      </c>
      <c r="D10" s="11" t="s">
        <v>58</v>
      </c>
    </row>
    <row r="11">
      <c r="A11" s="7" t="s">
        <v>60</v>
      </c>
      <c r="B11" s="11" t="s">
        <v>61</v>
      </c>
      <c r="C11" s="11" t="s">
        <v>62</v>
      </c>
      <c r="D11" s="11" t="s">
        <v>63</v>
      </c>
    </row>
    <row r="12">
      <c r="A12" s="7" t="s">
        <v>64</v>
      </c>
      <c r="B12" s="11" t="s">
        <v>65</v>
      </c>
      <c r="C12" s="11" t="s">
        <v>66</v>
      </c>
      <c r="D12" s="11" t="s">
        <v>67</v>
      </c>
    </row>
    <row r="13">
      <c r="A13" s="7" t="s">
        <v>68</v>
      </c>
      <c r="B13" s="11" t="s">
        <v>69</v>
      </c>
      <c r="C13" s="11" t="s">
        <v>71</v>
      </c>
      <c r="D13" s="11" t="s">
        <v>73</v>
      </c>
    </row>
    <row r="14">
      <c r="A14" s="7" t="s">
        <v>59</v>
      </c>
      <c r="B14" s="11" t="s">
        <v>75</v>
      </c>
      <c r="C14" s="11" t="s">
        <v>76</v>
      </c>
      <c r="D14" s="11" t="s">
        <v>77</v>
      </c>
    </row>
    <row r="15">
      <c r="A15" s="7" t="s">
        <v>79</v>
      </c>
      <c r="B15" s="11" t="s">
        <v>81</v>
      </c>
      <c r="C15" s="11" t="s">
        <v>82</v>
      </c>
      <c r="D15" s="11" t="s">
        <v>84</v>
      </c>
    </row>
    <row r="16">
      <c r="A16" s="7" t="s">
        <v>85</v>
      </c>
      <c r="B16" s="11" t="s">
        <v>86</v>
      </c>
      <c r="C16" s="11" t="s">
        <v>87</v>
      </c>
      <c r="D16" s="11" t="s">
        <v>88</v>
      </c>
    </row>
    <row r="17">
      <c r="A17" s="7" t="s">
        <v>89</v>
      </c>
      <c r="B17" s="11" t="s">
        <v>90</v>
      </c>
      <c r="C17" s="11" t="s">
        <v>92</v>
      </c>
      <c r="D17" s="11" t="s">
        <v>93</v>
      </c>
    </row>
    <row r="18">
      <c r="A18" s="7" t="s">
        <v>95</v>
      </c>
      <c r="B18" s="11" t="s">
        <v>96</v>
      </c>
      <c r="C18" s="11" t="s">
        <v>97</v>
      </c>
      <c r="D18" s="11" t="s">
        <v>99</v>
      </c>
    </row>
    <row r="20">
      <c r="A20" s="16" t="s">
        <v>102</v>
      </c>
    </row>
    <row r="21" ht="15.75" customHeight="1">
      <c r="A21" s="3" t="s">
        <v>104</v>
      </c>
      <c r="B21" s="3" t="s">
        <v>105</v>
      </c>
      <c r="C21" s="3" t="s">
        <v>106</v>
      </c>
      <c r="D21" s="3" t="s">
        <v>108</v>
      </c>
    </row>
    <row r="22" ht="15.75" customHeight="1">
      <c r="A22" s="7" t="s">
        <v>109</v>
      </c>
      <c r="B22" s="11" t="s">
        <v>113</v>
      </c>
      <c r="C22" s="11" t="s">
        <v>115</v>
      </c>
      <c r="D22" s="11" t="s">
        <v>116</v>
      </c>
    </row>
    <row r="23" ht="15.75" customHeight="1">
      <c r="A23" s="7" t="s">
        <v>117</v>
      </c>
      <c r="B23" s="11" t="s">
        <v>118</v>
      </c>
      <c r="C23" s="11" t="s">
        <v>119</v>
      </c>
      <c r="D23" s="11" t="s">
        <v>120</v>
      </c>
    </row>
    <row r="24" ht="15.75" customHeight="1">
      <c r="A24" s="7" t="s">
        <v>121</v>
      </c>
      <c r="B24" s="11" t="s">
        <v>122</v>
      </c>
      <c r="C24" s="11" t="s">
        <v>124</v>
      </c>
      <c r="D24" s="11" t="s">
        <v>125</v>
      </c>
    </row>
    <row r="25" ht="15.75" customHeight="1">
      <c r="A25" s="7" t="s">
        <v>126</v>
      </c>
      <c r="B25" s="11" t="s">
        <v>128</v>
      </c>
      <c r="C25" s="11" t="s">
        <v>129</v>
      </c>
      <c r="D25" s="11" t="s">
        <v>130</v>
      </c>
    </row>
    <row r="26" ht="15.75" customHeight="1">
      <c r="A26" s="7" t="s">
        <v>131</v>
      </c>
      <c r="B26" s="11" t="s">
        <v>132</v>
      </c>
      <c r="C26" s="11" t="s">
        <v>134</v>
      </c>
      <c r="D26" s="11" t="s">
        <v>135</v>
      </c>
    </row>
    <row r="27" ht="15.75" customHeight="1"/>
    <row r="28" ht="15.75" customHeight="1">
      <c r="A28" s="25" t="s">
        <v>137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